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ort Estim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<sst xmlns="http://schemas.openxmlformats.org/spreadsheetml/2006/main" count="178" uniqueCount="122">
  <si>
    <t xml:space="preserve">Effort Size Mapping</t>
  </si>
  <si>
    <t xml:space="preserve">Size</t>
  </si>
  <si>
    <t xml:space="preserve">PD</t>
  </si>
  <si>
    <t xml:space="preserve">Notes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</si>
  <si>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</si>
  <si>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</si>
  <si>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</si>
  <si>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</si>
  <si>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</si>
  <si>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Scope</t>
  </si>
  <si>
    <t xml:space="preserve">Content</t>
  </si>
  <si>
    <t xml:space="preserve">Effort Estimation</t>
  </si>
  <si>
    <t xml:space="preserve">Sprint</t>
  </si>
  <si>
    <t xml:space="preserve">Summary</t>
  </si>
  <si>
    <t xml:space="preserve">Comparison with System Entry</t>
  </si>
  <si>
    <t xml:space="preserve">Comparison Golden Standards</t>
  </si>
  <si>
    <t xml:space="preserve">Task</t>
  </si>
  <si>
    <t xml:space="preserve">SubTask</t>
  </si>
  <si>
    <t xml:space="preserve">T-Shirt Size</t>
  </si>
  <si>
    <t xml:space="preserve">SC</t>
  </si>
  <si>
    <t xml:space="preserve">C</t>
  </si>
  <si>
    <t xml:space="preserve">Week1</t>
  </si>
  <si>
    <t xml:space="preserve">Week2</t>
  </si>
  <si>
    <t xml:space="preserve">Week3</t>
  </si>
  <si>
    <t xml:space="preserve">AIDA IP AUTHENTICATOR</t>
  </si>
  <si>
    <t xml:space="preserve">Discovery &amp; Architecture</t>
  </si>
  <si>
    <t xml:space="preserve">IP Inventory</t>
  </si>
  <si>
    <t xml:space="preserve">Catalog &amp; deployment patterns</t>
  </si>
  <si>
    <t xml:space="preserve">x</t>
  </si>
  <si>
    <t xml:space="preserve">Architecture Design</t>
  </si>
  <si>
    <t xml:space="preserve">Tech stack &amp; design decisions</t>
  </si>
  <si>
    <t xml:space="preserve">Integration approach</t>
  </si>
  <si>
    <t xml:space="preserve">SDK Development</t>
  </si>
  <si>
    <t xml:space="preserve">Python SDK</t>
  </si>
  <si>
    <t xml:space="preserve">Core library &amp; decorator API</t>
  </si>
  <si>
    <t xml:space="preserve">Token caching &amp; renewal</t>
  </si>
  <si>
    <t xml:space="preserve">Offline grace periods</t>
  </si>
  <si>
    <t xml:space="preserve">Error handling</t>
  </si>
  <si>
    <t xml:space="preserve">JavaScript SDK</t>
  </si>
  <si>
    <t xml:space="preserve">Core library &amp; API</t>
  </si>
  <si>
    <t xml:space="preserve">Token management</t>
  </si>
  <si>
    <t xml:space="preserve">Browser/Node support</t>
  </si>
  <si>
    <t xml:space="preserve">Validation Backend</t>
  </si>
  <si>
    <t xml:space="preserve">Infrastructure</t>
  </si>
  <si>
    <t xml:space="preserve">Serverless setup &amp; DB schema</t>
  </si>
  <si>
    <t xml:space="preserve">License API</t>
  </si>
  <si>
    <t xml:space="preserve">Validation &amp; JWT issuance</t>
  </si>
  <si>
    <t xml:space="preserve">Telemetry</t>
  </si>
  <si>
    <t xml:space="preserve">Usage pipeline &amp; storage</t>
  </si>
  <si>
    <t xml:space="preserve">Anomaly detection</t>
  </si>
  <si>
    <t xml:space="preserve">Hardening</t>
  </si>
  <si>
    <t xml:space="preserve">Rate limiting &amp; security</t>
  </si>
  <si>
    <t xml:space="preserve">Caching layer</t>
  </si>
  <si>
    <t xml:space="preserve">Admin Portal</t>
  </si>
  <si>
    <t xml:space="preserve">Portal Setup</t>
  </si>
  <si>
    <t xml:space="preserve">Framework &amp; SSO integration</t>
  </si>
  <si>
    <t xml:space="preserve">License Management</t>
  </si>
  <si>
    <t xml:space="preserve">CRUD &amp; revocation</t>
  </si>
  <si>
    <t xml:space="preserve">Dashboards</t>
  </si>
  <si>
    <t xml:space="preserve">Usage analytics &amp; alerts</t>
  </si>
  <si>
    <t xml:space="preserve">UI Polish</t>
  </si>
  <si>
    <t xml:space="preserve">UX refinement</t>
  </si>
  <si>
    <t xml:space="preserve">Export functionality</t>
  </si>
  <si>
    <t xml:space="preserve">Docs &amp; Testing</t>
  </si>
  <si>
    <t xml:space="preserve">Documentation</t>
  </si>
  <si>
    <t xml:space="preserve">Integration guide &amp; API docs</t>
  </si>
  <si>
    <t xml:space="preserve">Testing</t>
  </si>
  <si>
    <t xml:space="preserve">Unit &amp; integration tests</t>
  </si>
  <si>
    <t xml:space="preserve">Edge cases &amp; E2E</t>
  </si>
  <si>
    <t xml:space="preserve">Security</t>
  </si>
  <si>
    <t xml:space="preserve">Security review</t>
  </si>
  <si>
    <t xml:space="preserve">Pen testing coordination</t>
  </si>
  <si>
    <t xml:space="preserve">External vendor</t>
  </si>
  <si>
    <t xml:space="preserve">TOTAL</t>
  </si>
  <si>
    <t xml:space="preserve">Business Case Summary</t>
  </si>
  <si>
    <t xml:space="preserve">Total Investment</t>
  </si>
  <si>
    <t xml:space="preserve">€50,000</t>
  </si>
  <si>
    <t xml:space="preserve">~100 PD dev + €3k cloud + €2k security</t>
  </si>
  <si>
    <t xml:space="preserve">Ongoing Costs</t>
  </si>
  <si>
    <t xml:space="preserve">€300/month hosting</t>
  </si>
  <si>
    <t xml:space="preserve">~5 PD/quarter maintenance</t>
  </si>
  <si>
    <t xml:space="preserve">Revenue Projections</t>
  </si>
  <si>
    <t xml:space="preserve">6 months</t>
  </si>
  <si>
    <t xml:space="preserve">€150,000 - €250,000</t>
  </si>
  <si>
    <t xml:space="preserve">Pilot licensing (2-3 AIDA solutions)</t>
  </si>
  <si>
    <t xml:space="preserve">3 years (conservative)</t>
  </si>
  <si>
    <t xml:space="preserve">€800,000 - €1,200,000</t>
  </si>
  <si>
    <t xml:space="preserve">Portfolio licensing + renewals + support</t>
  </si>
  <si>
    <t xml:space="preserve">SaaS Monetization Potential</t>
  </si>
  <si>
    <t xml:space="preserve">(Key growth lever)</t>
  </si>
  <si>
    <t xml:space="preserve">Subscription model</t>
  </si>
  <si>
    <t xml:space="preserve">€500-1,500/month/solution</t>
  </si>
  <si>
    <t xml:space="preserve">Per-solution enterprise licensing</t>
  </si>
  <si>
    <t xml:space="preserve">Usage-based tier</t>
  </si>
  <si>
    <t xml:space="preserve">€0.01-0.05/API call</t>
  </si>
  <si>
    <t xml:space="preserve">High-volume deployment pricing</t>
  </si>
  <si>
    <t xml:space="preserve">Support contracts</t>
  </si>
  <si>
    <t xml:space="preserve">€10,000-25,000/year</t>
  </si>
  <si>
    <t xml:space="preserve">Premium SLA + priority support</t>
  </si>
  <si>
    <t xml:space="preserve">3-year SaaS scenario</t>
  </si>
  <si>
    <t xml:space="preserve">€1,500,000 - €2,500,000</t>
  </si>
  <si>
    <t xml:space="preserve">Full product conversion</t>
  </si>
  <si>
    <t xml:space="preserve">ROI Indicators</t>
  </si>
  <si>
    <t xml:space="preserve">Break-even</t>
  </si>
  <si>
    <t xml:space="preserve">4-6 months</t>
  </si>
  <si>
    <t xml:space="preserve">First 2-3 client deployments</t>
  </si>
  <si>
    <t xml:space="preserve">Engagement margin</t>
  </si>
  <si>
    <t xml:space="preserve">35-45%</t>
  </si>
  <si>
    <t xml:space="preserve">Post investment recovery</t>
  </si>
  <si>
    <t xml:space="preserve">Multiplication</t>
  </si>
  <si>
    <t xml:space="preserve">All AIDA solutions</t>
  </si>
  <si>
    <t xml:space="preserve">Build once, deploy everywhere</t>
  </si>
  <si>
    <t xml:space="preserve">Strategic Value</t>
  </si>
  <si>
    <t xml:space="preserve">IP Protection</t>
  </si>
  <si>
    <t xml:space="preserve">High</t>
  </si>
  <si>
    <t xml:space="preserve">Deterrence + detection + evidence</t>
  </si>
  <si>
    <t xml:space="preserve">Client Control</t>
  </si>
  <si>
    <t xml:space="preserve">Remote revocation</t>
  </si>
  <si>
    <t xml:space="preserve">Contract enforcement capability</t>
  </si>
  <si>
    <t xml:space="preserve">Upsell Path</t>
  </si>
  <si>
    <t xml:space="preserve">Support → SaaS → Premium</t>
  </si>
  <si>
    <t xml:space="preserve">Natural monetization ladder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</si>
</sst>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10" min="7" style="0" width="6"/>
    <col collapsed="false" customWidth="true" hidden="false" outlineLevel="0" max="13" min="11" style="0" width="8"/>
    <col collapsed="false" customWidth="true" hidden="false" outlineLevel="0" max="14" min="14" style="0" width="30"/>
  </cols>
  <sheetData>
    <row r="2" customFormat="false" ht="15" hidden="false" customHeight="false" outlineLevel="0" collapsed="false">
      <c r="H2" s="1" t="s">
        <v>0</v>
      </c>
      <c r="I2" s="1"/>
      <c r="J2" s="1"/>
    </row>
    <row r="3" customFormat="false" ht="15" hidden="false" customHeight="false" outlineLevel="0" collapsed="false">
      <c r="H3" s="2" t="s">
        <v>1</v>
      </c>
      <c r="I3" s="2" t="s">
        <v>2</v>
      </c>
      <c r="J3" s="2" t="s">
        <v>3</v>
      </c>
    </row>
    <row r="4" customFormat="false" ht="15" hidden="false" customHeight="false" outlineLevel="0" collapsed="false">
      <c r="H4" s="3" t="s">
        <v>4</v>
      </c>
      <c r="I4" s="3" t="n">
        <v>1</v>
      </c>
      <c r="J4" s="3"/>
    </row>
    <row r="5" customFormat="false" ht="15" hidden="false" customHeight="false" outlineLevel="0" collapsed="false">
      <c r="H5" s="3" t="s">
        <v>5</v>
      </c>
      <c r="I5" s="3" t="n">
        <v>2</v>
      </c>
      <c r="J5" s="3"/>
    </row>
    <row r="6" customFormat="false" ht="15" hidden="false" customHeight="false" outlineLevel="0" collapsed="false">
      <c r="H6" s="3" t="s">
        <v>6</v>
      </c>
      <c r="I6" s="3" t="n">
        <v>4</v>
      </c>
      <c r="J6" s="3"/>
    </row>
    <row r="7" customFormat="false" ht="15" hidden="false" customHeight="false" outlineLevel="0" collapsed="false">
      <c r="H7" s="3" t="s">
        <v>7</v>
      </c>
      <c r="I7" s="3" t="n">
        <v>7</v>
      </c>
      <c r="J7" s="3"/>
    </row>
    <row r="8" customFormat="false" ht="15" hidden="false" customHeight="false" outlineLevel="0" collapsed="false">
      <c r="H8" s="3" t="s">
        <v>8</v>
      </c>
      <c r="I8" s="3" t="n">
        <v>15</v>
      </c>
      <c r="J8" s="3"/>
    </row>
    <row r="11" customFormat="false" ht="15" hidden="false" customHeight="false" outlineLevel="0" collapsed="false">
      <c r="A11" s="4" t="s">
        <v>9</v>
      </c>
      <c r="B11" s="4"/>
      <c r="C11" s="4"/>
      <c r="D11" s="4" t="s">
        <v>10</v>
      </c>
      <c r="E11" s="4"/>
      <c r="F11" s="4" t="s">
        <v>11</v>
      </c>
      <c r="G11" s="4"/>
      <c r="H11" s="4"/>
      <c r="I11" s="4" t="s">
        <v>2</v>
      </c>
      <c r="J11" s="4"/>
      <c r="K11" s="4" t="s">
        <v>12</v>
      </c>
      <c r="L11" s="4"/>
      <c r="M11" s="4"/>
      <c r="N11" s="4" t="s">
        <v>3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s="5"/>
    </row>
    <row r="13" customFormat="false" ht="15" hidden="false" customHeight="false" outlineLevel="0" collapsed="false">
      <c r="D13" s="6" t="s">
        <v>24</v>
      </c>
      <c r="E13" s="6"/>
    </row>
    <row r="14" customFormat="false" ht="15" hidden="false" customHeight="false" outlineLevel="0" collapsed="false">
      <c r="A14" s="3" t="s">
        <v>25</v>
      </c>
      <c r="B14" s="3"/>
      <c r="C14" s="3"/>
      <c r="D14" s="3" t="s">
        <v>26</v>
      </c>
      <c r="E14" s="3" t="s">
        <v>27</v>
      </c>
      <c r="F14" s="7" t="s">
        <v>5</v>
      </c>
      <c r="G14" s="7" t="s">
        <v>28</v>
      </c>
      <c r="H14" s="7"/>
      <c r="I14" s="7" t="n">
        <v>2</v>
      </c>
      <c r="J14" s="7" t="n">
        <v>0</v>
      </c>
      <c r="K14" s="3"/>
      <c r="L14" s="3"/>
      <c r="M14" s="3"/>
      <c r="N14" s="3"/>
    </row>
    <row r="15" customFormat="false" ht="15" hidden="false" customHeight="false" outlineLevel="0" collapsed="false">
      <c r="A15" s="3"/>
      <c r="B15" s="3"/>
      <c r="C15" s="3"/>
      <c r="D15" s="3" t="s">
        <v>29</v>
      </c>
      <c r="E15" s="3" t="s">
        <v>30</v>
      </c>
      <c r="F15" s="7" t="s">
        <v>5</v>
      </c>
      <c r="G15" s="7" t="s">
        <v>28</v>
      </c>
      <c r="H15" s="7"/>
      <c r="I15" s="7" t="n">
        <v>2</v>
      </c>
      <c r="J15" s="7" t="n">
        <v>0</v>
      </c>
      <c r="K15" s="3"/>
      <c r="L15" s="3"/>
      <c r="M15" s="3"/>
      <c r="N15" s="3"/>
    </row>
    <row r="16" customFormat="false" ht="15" hidden="false" customHeight="false" outlineLevel="0" collapsed="false">
      <c r="A16" s="3"/>
      <c r="B16" s="3"/>
      <c r="C16" s="3"/>
      <c r="D16" s="3"/>
      <c r="E16" s="3" t="s">
        <v>31</v>
      </c>
      <c r="F16" s="7" t="s">
        <v>4</v>
      </c>
      <c r="G16" s="7" t="s">
        <v>28</v>
      </c>
      <c r="H16" s="7"/>
      <c r="I16" s="7" t="n">
        <v>1</v>
      </c>
      <c r="J16" s="7" t="n">
        <v>0</v>
      </c>
      <c r="K16" s="3"/>
      <c r="L16" s="3"/>
      <c r="M16" s="3"/>
      <c r="N16" s="3"/>
    </row>
    <row r="17" customFormat="false" ht="15" hidden="false" customHeight="false" outlineLevel="0" collapsed="false">
      <c r="A17" s="3" t="s">
        <v>32</v>
      </c>
      <c r="B17" s="3"/>
      <c r="C17" s="3"/>
      <c r="D17" s="3" t="s">
        <v>33</v>
      </c>
      <c r="E17" s="3" t="s">
        <v>34</v>
      </c>
      <c r="F17" s="7" t="s">
        <v>7</v>
      </c>
      <c r="G17" s="7"/>
      <c r="H17" s="7" t="s">
        <v>28</v>
      </c>
      <c r="I17" s="7" t="n">
        <v>0</v>
      </c>
      <c r="J17" s="7" t="n">
        <v>7</v>
      </c>
      <c r="K17" s="3"/>
      <c r="L17" s="3"/>
      <c r="M17" s="3"/>
      <c r="N17" s="3"/>
    </row>
    <row r="18" customFormat="false" ht="15" hidden="false" customHeight="false" outlineLevel="0" collapsed="false">
      <c r="A18" s="3"/>
      <c r="B18" s="3"/>
      <c r="C18" s="3"/>
      <c r="D18" s="3"/>
      <c r="E18" s="3" t="s">
        <v>35</v>
      </c>
      <c r="F18" s="7" t="s">
        <v>6</v>
      </c>
      <c r="G18" s="7"/>
      <c r="H18" s="7" t="s">
        <v>28</v>
      </c>
      <c r="I18" s="7" t="n">
        <v>0</v>
      </c>
      <c r="J18" s="7" t="n">
        <v>4</v>
      </c>
      <c r="K18" s="3"/>
      <c r="L18" s="3"/>
      <c r="M18" s="3"/>
      <c r="N18" s="3"/>
    </row>
    <row r="19" customFormat="false" ht="15" hidden="false" customHeight="false" outlineLevel="0" collapsed="false">
      <c r="A19" s="3"/>
      <c r="B19" s="3"/>
      <c r="C19" s="3"/>
      <c r="D19" s="3"/>
      <c r="E19" s="3" t="s">
        <v>36</v>
      </c>
      <c r="F19" s="7" t="s">
        <v>5</v>
      </c>
      <c r="G19" s="7"/>
      <c r="H19" s="7" t="s">
        <v>28</v>
      </c>
      <c r="I19" s="7" t="n">
        <v>0</v>
      </c>
      <c r="J19" s="7" t="n">
        <v>2</v>
      </c>
      <c r="K19" s="3"/>
      <c r="L19" s="3"/>
      <c r="M19" s="3"/>
      <c r="N19" s="3"/>
    </row>
    <row r="20" customFormat="false" ht="15" hidden="false" customHeight="false" outlineLevel="0" collapsed="false">
      <c r="A20" s="3"/>
      <c r="B20" s="3"/>
      <c r="C20" s="3"/>
      <c r="D20" s="3"/>
      <c r="E20" s="3" t="s">
        <v>37</v>
      </c>
      <c r="F20" s="7" t="s">
        <v>5</v>
      </c>
      <c r="G20" s="7"/>
      <c r="H20" s="7" t="s">
        <v>28</v>
      </c>
      <c r="I20" s="7" t="n">
        <v>0</v>
      </c>
      <c r="J20" s="7" t="n">
        <v>2</v>
      </c>
      <c r="K20" s="3"/>
      <c r="L20" s="3"/>
      <c r="M20" s="3"/>
      <c r="N20" s="3"/>
    </row>
    <row r="21" customFormat="false" ht="15" hidden="false" customHeight="false" outlineLevel="0" collapsed="false">
      <c r="A21" s="3"/>
      <c r="B21" s="3"/>
      <c r="C21" s="3"/>
      <c r="D21" s="3" t="s">
        <v>38</v>
      </c>
      <c r="E21" s="3" t="s">
        <v>39</v>
      </c>
      <c r="F21" s="7" t="s">
        <v>7</v>
      </c>
      <c r="G21" s="7"/>
      <c r="H21" s="7" t="s">
        <v>28</v>
      </c>
      <c r="I21" s="7" t="n">
        <v>0</v>
      </c>
      <c r="J21" s="7" t="n">
        <v>7</v>
      </c>
      <c r="K21" s="3"/>
      <c r="L21" s="3"/>
      <c r="M21" s="3"/>
      <c r="N21" s="3"/>
    </row>
    <row r="22" customFormat="false" ht="15" hidden="false" customHeight="false" outlineLevel="0" collapsed="false">
      <c r="A22" s="3"/>
      <c r="B22" s="3"/>
      <c r="C22" s="3"/>
      <c r="D22" s="3"/>
      <c r="E22" s="3" t="s">
        <v>40</v>
      </c>
      <c r="F22" s="7" t="s">
        <v>6</v>
      </c>
      <c r="G22" s="7"/>
      <c r="H22" s="7" t="s">
        <v>28</v>
      </c>
      <c r="I22" s="7" t="n">
        <v>0</v>
      </c>
      <c r="J22" s="7" t="n">
        <v>4</v>
      </c>
      <c r="K22" s="3"/>
      <c r="L22" s="3"/>
      <c r="M22" s="3"/>
      <c r="N22" s="3"/>
    </row>
    <row r="23" customFormat="false" ht="15" hidden="false" customHeight="false" outlineLevel="0" collapsed="false">
      <c r="A23" s="3"/>
      <c r="B23" s="3"/>
      <c r="C23" s="3"/>
      <c r="D23" s="3"/>
      <c r="E23" s="3" t="s">
        <v>41</v>
      </c>
      <c r="F23" s="7" t="s">
        <v>6</v>
      </c>
      <c r="G23" s="7"/>
      <c r="H23" s="7" t="s">
        <v>28</v>
      </c>
      <c r="I23" s="7" t="n">
        <v>0</v>
      </c>
      <c r="J23" s="7" t="n">
        <v>4</v>
      </c>
      <c r="K23" s="3"/>
      <c r="L23" s="3"/>
      <c r="M23" s="3"/>
      <c r="N23" s="3"/>
    </row>
    <row r="24" customFormat="false" ht="15" hidden="false" customHeight="false" outlineLevel="0" collapsed="false">
      <c r="A24" s="3" t="s">
        <v>42</v>
      </c>
      <c r="B24" s="3"/>
      <c r="C24" s="3"/>
      <c r="D24" s="3" t="s">
        <v>43</v>
      </c>
      <c r="E24" s="3" t="s">
        <v>44</v>
      </c>
      <c r="F24" s="7" t="s">
        <v>6</v>
      </c>
      <c r="G24" s="7"/>
      <c r="H24" s="7" t="s">
        <v>28</v>
      </c>
      <c r="I24" s="7" t="n">
        <v>0</v>
      </c>
      <c r="J24" s="7" t="n">
        <v>4</v>
      </c>
      <c r="K24" s="3"/>
      <c r="L24" s="3"/>
      <c r="M24" s="3"/>
      <c r="N24" s="3"/>
    </row>
    <row r="25" customFormat="false" ht="15" hidden="false" customHeight="false" outlineLevel="0" collapsed="false">
      <c r="A25" s="3"/>
      <c r="B25" s="3"/>
      <c r="C25" s="3"/>
      <c r="D25" s="3" t="s">
        <v>45</v>
      </c>
      <c r="E25" s="3" t="s">
        <v>46</v>
      </c>
      <c r="F25" s="7" t="s">
        <v>7</v>
      </c>
      <c r="G25" s="7"/>
      <c r="H25" s="7" t="s">
        <v>28</v>
      </c>
      <c r="I25" s="7" t="n">
        <v>0</v>
      </c>
      <c r="J25" s="7" t="n">
        <v>7</v>
      </c>
      <c r="K25" s="3"/>
      <c r="L25" s="3"/>
      <c r="M25" s="3"/>
      <c r="N25" s="3"/>
    </row>
    <row r="26" customFormat="false" ht="15" hidden="false" customHeight="false" outlineLevel="0" collapsed="false">
      <c r="A26" s="3"/>
      <c r="B26" s="3"/>
      <c r="C26" s="3"/>
      <c r="D26" s="3" t="s">
        <v>47</v>
      </c>
      <c r="E26" s="3" t="s">
        <v>48</v>
      </c>
      <c r="F26" s="7" t="s">
        <v>6</v>
      </c>
      <c r="G26" s="7"/>
      <c r="H26" s="7" t="s">
        <v>28</v>
      </c>
      <c r="I26" s="7" t="n">
        <v>0</v>
      </c>
      <c r="J26" s="7" t="n">
        <v>4</v>
      </c>
      <c r="K26" s="3"/>
      <c r="L26" s="3"/>
      <c r="M26" s="3"/>
      <c r="N26" s="3"/>
    </row>
    <row r="27" customFormat="false" ht="15" hidden="false" customHeight="false" outlineLevel="0" collapsed="false">
      <c r="A27" s="3"/>
      <c r="B27" s="3"/>
      <c r="C27" s="3"/>
      <c r="D27" s="3"/>
      <c r="E27" s="3" t="s">
        <v>49</v>
      </c>
      <c r="F27" s="7" t="s">
        <v>5</v>
      </c>
      <c r="G27" s="7"/>
      <c r="H27" s="7" t="s">
        <v>28</v>
      </c>
      <c r="I27" s="7" t="n">
        <v>0</v>
      </c>
      <c r="J27" s="7" t="n">
        <v>2</v>
      </c>
      <c r="K27" s="3"/>
      <c r="L27" s="3"/>
      <c r="M27" s="3"/>
      <c r="N27" s="3"/>
    </row>
    <row r="28" customFormat="false" ht="15" hidden="false" customHeight="false" outlineLevel="0" collapsed="false">
      <c r="A28" s="3"/>
      <c r="B28" s="3"/>
      <c r="C28" s="3"/>
      <c r="D28" s="3" t="s">
        <v>50</v>
      </c>
      <c r="E28" s="3" t="s">
        <v>51</v>
      </c>
      <c r="F28" s="7" t="s">
        <v>6</v>
      </c>
      <c r="G28" s="7"/>
      <c r="H28" s="7" t="s">
        <v>28</v>
      </c>
      <c r="I28" s="7" t="n">
        <v>0</v>
      </c>
      <c r="J28" s="7" t="n">
        <v>4</v>
      </c>
      <c r="K28" s="3"/>
      <c r="L28" s="3"/>
      <c r="M28" s="3"/>
      <c r="N28" s="3"/>
    </row>
    <row r="29" customFormat="false" ht="15" hidden="false" customHeight="false" outlineLevel="0" collapsed="false">
      <c r="A29" s="3"/>
      <c r="B29" s="3"/>
      <c r="C29" s="3"/>
      <c r="D29" s="3"/>
      <c r="E29" s="3" t="s">
        <v>52</v>
      </c>
      <c r="F29" s="7" t="s">
        <v>6</v>
      </c>
      <c r="G29" s="7"/>
      <c r="H29" s="7" t="s">
        <v>28</v>
      </c>
      <c r="I29" s="7" t="n">
        <v>0</v>
      </c>
      <c r="J29" s="7" t="n">
        <v>4</v>
      </c>
      <c r="K29" s="3"/>
      <c r="L29" s="3"/>
      <c r="M29" s="3"/>
      <c r="N29" s="3"/>
    </row>
    <row r="30" customFormat="false" ht="15" hidden="false" customHeight="false" outlineLevel="0" collapsed="false">
      <c r="A30" s="3" t="s">
        <v>53</v>
      </c>
      <c r="B30" s="3"/>
      <c r="C30" s="3"/>
      <c r="D30" s="3" t="s">
        <v>54</v>
      </c>
      <c r="E30" s="3" t="s">
        <v>55</v>
      </c>
      <c r="F30" s="7" t="s">
        <v>6</v>
      </c>
      <c r="G30" s="7"/>
      <c r="H30" s="7" t="s">
        <v>28</v>
      </c>
      <c r="I30" s="7" t="n">
        <v>0</v>
      </c>
      <c r="J30" s="7" t="n">
        <v>4</v>
      </c>
      <c r="K30" s="3"/>
      <c r="L30" s="3"/>
      <c r="M30" s="3"/>
      <c r="N30" s="3"/>
    </row>
    <row r="31" customFormat="false" ht="15" hidden="false" customHeight="false" outlineLevel="0" collapsed="false">
      <c r="A31" s="3"/>
      <c r="B31" s="3"/>
      <c r="C31" s="3"/>
      <c r="D31" s="3" t="s">
        <v>56</v>
      </c>
      <c r="E31" s="3" t="s">
        <v>57</v>
      </c>
      <c r="F31" s="7" t="s">
        <v>7</v>
      </c>
      <c r="G31" s="7"/>
      <c r="H31" s="7" t="s">
        <v>28</v>
      </c>
      <c r="I31" s="7" t="n">
        <v>0</v>
      </c>
      <c r="J31" s="7" t="n">
        <v>7</v>
      </c>
      <c r="K31" s="3"/>
      <c r="L31" s="3"/>
      <c r="M31" s="3"/>
      <c r="N31" s="3"/>
    </row>
    <row r="32" customFormat="false" ht="15" hidden="false" customHeight="false" outlineLevel="0" collapsed="false">
      <c r="A32" s="3"/>
      <c r="B32" s="3"/>
      <c r="C32" s="3"/>
      <c r="D32" s="3" t="s">
        <v>58</v>
      </c>
      <c r="E32" s="3" t="s">
        <v>59</v>
      </c>
      <c r="F32" s="7" t="s">
        <v>6</v>
      </c>
      <c r="G32" s="7"/>
      <c r="H32" s="7" t="s">
        <v>28</v>
      </c>
      <c r="I32" s="7" t="n">
        <v>0</v>
      </c>
      <c r="J32" s="7" t="n">
        <v>4</v>
      </c>
      <c r="K32" s="3"/>
      <c r="L32" s="3"/>
      <c r="M32" s="3"/>
      <c r="N32" s="3"/>
    </row>
    <row r="33" customFormat="false" ht="15" hidden="false" customHeight="false" outlineLevel="0" collapsed="false">
      <c r="A33" s="3"/>
      <c r="B33" s="3"/>
      <c r="C33" s="3"/>
      <c r="D33" s="3" t="s">
        <v>60</v>
      </c>
      <c r="E33" s="3" t="s">
        <v>61</v>
      </c>
      <c r="F33" s="7" t="s">
        <v>5</v>
      </c>
      <c r="G33" s="7"/>
      <c r="H33" s="7" t="s">
        <v>28</v>
      </c>
      <c r="I33" s="7" t="n">
        <v>0</v>
      </c>
      <c r="J33" s="7" t="n">
        <v>2</v>
      </c>
      <c r="K33" s="3"/>
      <c r="L33" s="3"/>
      <c r="M33" s="3"/>
      <c r="N33" s="3"/>
    </row>
    <row r="34" customFormat="false" ht="15" hidden="false" customHeight="false" outlineLevel="0" collapsed="false">
      <c r="A34" s="3"/>
      <c r="B34" s="3"/>
      <c r="C34" s="3"/>
      <c r="D34" s="3"/>
      <c r="E34" s="3" t="s">
        <v>62</v>
      </c>
      <c r="F34" s="7" t="s">
        <v>5</v>
      </c>
      <c r="G34" s="7"/>
      <c r="H34" s="7" t="s">
        <v>28</v>
      </c>
      <c r="I34" s="7" t="n">
        <v>0</v>
      </c>
      <c r="J34" s="7" t="n">
        <v>3</v>
      </c>
      <c r="K34" s="3"/>
      <c r="L34" s="3"/>
      <c r="M34" s="3"/>
      <c r="N34" s="3"/>
    </row>
    <row r="35" customFormat="false" ht="15" hidden="false" customHeight="false" outlineLevel="0" collapsed="false">
      <c r="A35" s="3" t="s">
        <v>63</v>
      </c>
      <c r="B35" s="3"/>
      <c r="C35" s="3"/>
      <c r="D35" s="3" t="s">
        <v>64</v>
      </c>
      <c r="E35" s="3" t="s">
        <v>65</v>
      </c>
      <c r="F35" s="7" t="s">
        <v>6</v>
      </c>
      <c r="G35" s="7" t="s">
        <v>28</v>
      </c>
      <c r="H35" s="7"/>
      <c r="I35" s="7" t="n">
        <v>4</v>
      </c>
      <c r="J35" s="7" t="n">
        <v>0</v>
      </c>
      <c r="K35" s="3"/>
      <c r="L35" s="3"/>
      <c r="M35" s="3"/>
      <c r="N35" s="3"/>
    </row>
    <row r="36" customFormat="false" ht="15" hidden="false" customHeight="false" outlineLevel="0" collapsed="false">
      <c r="A36" s="3"/>
      <c r="B36" s="3"/>
      <c r="C36" s="3"/>
      <c r="D36" s="3" t="s">
        <v>66</v>
      </c>
      <c r="E36" s="3" t="s">
        <v>67</v>
      </c>
      <c r="F36" s="7" t="s">
        <v>6</v>
      </c>
      <c r="G36" s="7"/>
      <c r="H36" s="7" t="s">
        <v>28</v>
      </c>
      <c r="I36" s="7" t="n">
        <v>0</v>
      </c>
      <c r="J36" s="7" t="n">
        <v>4</v>
      </c>
      <c r="K36" s="3"/>
      <c r="L36" s="3"/>
      <c r="M36" s="3"/>
      <c r="N36" s="3"/>
    </row>
    <row r="37" customFormat="false" ht="15" hidden="false" customHeight="false" outlineLevel="0" collapsed="false">
      <c r="A37" s="3"/>
      <c r="B37" s="3"/>
      <c r="C37" s="3"/>
      <c r="D37" s="3"/>
      <c r="E37" s="3" t="s">
        <v>68</v>
      </c>
      <c r="F37" s="7" t="s">
        <v>6</v>
      </c>
      <c r="G37" s="7"/>
      <c r="H37" s="7" t="s">
        <v>28</v>
      </c>
      <c r="I37" s="7" t="n">
        <v>0</v>
      </c>
      <c r="J37" s="7" t="n">
        <v>4</v>
      </c>
      <c r="K37" s="3"/>
      <c r="L37" s="3"/>
      <c r="M37" s="3"/>
      <c r="N37" s="3"/>
    </row>
    <row r="38" customFormat="false" ht="15" hidden="false" customHeight="false" outlineLevel="0" collapsed="false">
      <c r="A38" s="3"/>
      <c r="B38" s="3"/>
      <c r="C38" s="3"/>
      <c r="D38" s="3" t="s">
        <v>69</v>
      </c>
      <c r="E38" s="3" t="s">
        <v>70</v>
      </c>
      <c r="F38" s="7" t="s">
        <v>6</v>
      </c>
      <c r="G38" s="7" t="s">
        <v>28</v>
      </c>
      <c r="H38" s="7"/>
      <c r="I38" s="7" t="n">
        <v>4</v>
      </c>
      <c r="J38" s="7" t="n">
        <v>0</v>
      </c>
      <c r="K38" s="3"/>
      <c r="L38" s="3"/>
      <c r="M38" s="3"/>
      <c r="N38" s="3"/>
    </row>
    <row r="39" customFormat="false" ht="15" hidden="false" customHeight="false" outlineLevel="0" collapsed="false">
      <c r="A39" s="3"/>
      <c r="B39" s="3"/>
      <c r="C39" s="3"/>
      <c r="D39" s="3"/>
      <c r="E39" s="3" t="s">
        <v>71</v>
      </c>
      <c r="F39" s="7" t="s">
        <v>6</v>
      </c>
      <c r="G39" s="7"/>
      <c r="H39" s="7" t="s">
        <v>28</v>
      </c>
      <c r="I39" s="7" t="n">
        <v>0</v>
      </c>
      <c r="J39" s="7" t="n">
        <v>4</v>
      </c>
      <c r="K39" s="3"/>
      <c r="L39" s="3"/>
      <c r="M39" s="3"/>
      <c r="N39" s="3" t="s">
        <v>72</v>
      </c>
    </row>
    <row r="41" customFormat="false" ht="15" hidden="false" customHeight="false" outlineLevel="0" collapsed="false">
      <c r="D41" s="8" t="s">
        <v>73</v>
      </c>
      <c r="E41" s="9"/>
      <c r="F41" s="9"/>
      <c r="G41" s="9"/>
      <c r="H41" s="9"/>
      <c r="I41" s="8" t="n">
        <f aca="false">SUM(I14:I39)</f>
        <v>13</v>
      </c>
      <c r="J41" s="8" t="n">
        <f aca="false">SUM(J14:J39)</f>
        <v>87</v>
      </c>
      <c r="K41" s="8" t="n">
        <f aca="false">I41+J41</f>
        <v>100</v>
      </c>
      <c r="L41" s="8" t="s">
        <v>2</v>
      </c>
    </row>
    <row r="44" customFormat="false" ht="15" hidden="false" customHeight="false" outlineLevel="0" collapsed="false">
      <c r="A44" s="1" t="s">
        <v>74</v>
      </c>
      <c r="B44" s="1"/>
      <c r="C44" s="1"/>
      <c r="D44" s="1"/>
    </row>
    <row r="45" customFormat="false" ht="15" hidden="false" customHeight="false" outlineLevel="0" collapsed="false">
      <c r="A45" s="0" t="s">
        <v>75</v>
      </c>
      <c r="B45" s="10" t="s">
        <v>76</v>
      </c>
      <c r="D45" s="11" t="s">
        <v>77</v>
      </c>
    </row>
    <row r="46" customFormat="false" ht="15" hidden="false" customHeight="false" outlineLevel="0" collapsed="false">
      <c r="A46" s="0" t="s">
        <v>78</v>
      </c>
      <c r="B46" s="10" t="s">
        <v>79</v>
      </c>
      <c r="D46" s="11" t="s">
        <v>80</v>
      </c>
    </row>
    <row r="48" customFormat="false" ht="15" hidden="false" customHeight="false" outlineLevel="0" collapsed="false">
      <c r="A48" s="12" t="s">
        <v>81</v>
      </c>
    </row>
    <row r="49" customFormat="false" ht="15" hidden="false" customHeight="false" outlineLevel="0" collapsed="false">
      <c r="A49" s="0" t="s">
        <v>82</v>
      </c>
      <c r="B49" s="10" t="s">
        <v>83</v>
      </c>
      <c r="D49" s="11" t="s">
        <v>84</v>
      </c>
    </row>
    <row r="50" customFormat="false" ht="15" hidden="false" customHeight="false" outlineLevel="0" collapsed="false">
      <c r="A50" s="0" t="s">
        <v>85</v>
      </c>
      <c r="B50" s="10" t="s">
        <v>86</v>
      </c>
      <c r="D50" s="11" t="s">
        <v>87</v>
      </c>
    </row>
    <row r="52" customFormat="false" ht="15" hidden="false" customHeight="false" outlineLevel="0" collapsed="false">
      <c r="A52" s="12" t="s">
        <v>88</v>
      </c>
      <c r="D52" s="11" t="s">
        <v>89</v>
      </c>
    </row>
    <row r="53" customFormat="false" ht="15" hidden="false" customHeight="false" outlineLevel="0" collapsed="false">
      <c r="A53" s="0" t="s">
        <v>90</v>
      </c>
      <c r="B53" s="10" t="s">
        <v>91</v>
      </c>
      <c r="D53" s="11" t="s">
        <v>92</v>
      </c>
    </row>
    <row r="54" customFormat="false" ht="15" hidden="false" customHeight="false" outlineLevel="0" collapsed="false">
      <c r="A54" s="0" t="s">
        <v>93</v>
      </c>
      <c r="B54" s="10" t="s">
        <v>94</v>
      </c>
      <c r="D54" s="11" t="s">
        <v>95</v>
      </c>
    </row>
    <row r="55" customFormat="false" ht="15" hidden="false" customHeight="false" outlineLevel="0" collapsed="false">
      <c r="A55" s="0" t="s">
        <v>96</v>
      </c>
      <c r="B55" s="10" t="s">
        <v>97</v>
      </c>
      <c r="D55" s="11" t="s">
        <v>98</v>
      </c>
    </row>
    <row r="56" customFormat="false" ht="15" hidden="false" customHeight="false" outlineLevel="0" collapsed="false">
      <c r="A56" s="0" t="s">
        <v>99</v>
      </c>
      <c r="B56" s="10" t="s">
        <v>100</v>
      </c>
      <c r="D56" s="11" t="s">
        <v>101</v>
      </c>
    </row>
    <row r="58" customFormat="false" ht="15" hidden="false" customHeight="false" outlineLevel="0" collapsed="false">
      <c r="A58" s="12" t="s">
        <v>102</v>
      </c>
    </row>
    <row r="59" customFormat="false" ht="15" hidden="false" customHeight="false" outlineLevel="0" collapsed="false">
      <c r="A59" s="0" t="s">
        <v>103</v>
      </c>
      <c r="B59" s="0" t="s">
        <v>104</v>
      </c>
      <c r="D59" s="0" t="s">
        <v>105</v>
      </c>
    </row>
    <row r="60" customFormat="false" ht="15" hidden="false" customHeight="false" outlineLevel="0" collapsed="false">
      <c r="A60" s="0" t="s">
        <v>106</v>
      </c>
      <c r="B60" s="0" t="s">
        <v>107</v>
      </c>
      <c r="D60" s="0" t="s">
        <v>108</v>
      </c>
    </row>
    <row r="61" customFormat="false" ht="15" hidden="false" customHeight="false" outlineLevel="0" collapsed="false">
      <c r="A61" s="0" t="s">
        <v>109</v>
      </c>
      <c r="B61" s="0" t="s">
        <v>110</v>
      </c>
      <c r="D61" s="0" t="s">
        <v>111</v>
      </c>
    </row>
    <row r="63" customFormat="false" ht="15" hidden="false" customHeight="false" outlineLevel="0" collapsed="false">
      <c r="A63" s="12" t="s">
        <v>112</v>
      </c>
    </row>
    <row r="64" customFormat="false" ht="15" hidden="false" customHeight="false" outlineLevel="0" collapsed="false">
      <c r="A64" s="0" t="s">
        <v>113</v>
      </c>
      <c r="B64" s="0" t="s">
        <v>114</v>
      </c>
      <c r="D64" s="0" t="s">
        <v>115</v>
      </c>
    </row>
    <row r="65" customFormat="false" ht="15" hidden="false" customHeight="false" outlineLevel="0" collapsed="false">
      <c r="A65" s="0" t="s">
        <v>116</v>
      </c>
      <c r="B65" s="0" t="s">
        <v>117</v>
      </c>
      <c r="D65" s="0" t="s">
        <v>118</v>
      </c>
    </row>
    <row r="66" customFormat="false" ht="15" hidden="false" customHeight="false" outlineLevel="0" collapsed="false">
      <c r="A66" s="0" t="s">
        <v>119</v>
      </c>
      <c r="B66" s="0" t="s">
        <v>120</v>
      </c>
      <c r="D66" s="0" t="s">
        <v>121</v>
      </c>
    </row>
  </sheetData>
  <mergeCells count="3">
    <mergeCell ref="H2:J2"/>
    <mergeCell ref="D13:E1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2025-12-09T12:53:36Z</dcterms:created>
  <dc:creator>openpyxl</dc:creator>
  <dc:description/>
  <dc:language>en-US</dc:language>
  <cp:lastModifiedBy/>
  <dcterms:modified xsi:type="dcterms:W3CDTF">2025-12-09T12:53:36Z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